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<sst xmlns="http://schemas.openxmlformats.org/spreadsheetml/2006/main" count="31" uniqueCount="25">
  <si>
    <t xml:space="preserve">SUL — Competitive Pricing Analysis</t>
  </si>
  <si>
    <t xml:space="preserve">Benchmark: Established Streetwear Brands (Retail Prices, 2025-2026)</t>
  </si>
  <si>
    <t xml:space="preserve">Product Category</t>
  </si>
  <si>
    <t xml:space="preserve">SUL Price</t>
  </si>
  <si>
    <t xml:space="preserve">Essentials (FOG)</t>
  </si>
  <si>
    <t xml:space="preserve">Stussy</t>
  </si>
  <si>
    <t xml:space="preserve">Kith</t>
  </si>
  <si>
    <t xml:space="preserve">Bape</t>
  </si>
  <si>
    <t xml:space="preserve">Market Avg</t>
  </si>
  <si>
    <t xml:space="preserve">Hoodie</t>
  </si>
  <si>
    <t xml:space="preserve">Bomber Jacket</t>
  </si>
  <si>
    <t xml:space="preserve">Knit Sweater</t>
  </si>
  <si>
    <t xml:space="preserve">Trucker Hat</t>
  </si>
  <si>
    <t xml:space="preserve">SUL Discount vs Market Avg</t>
  </si>
  <si>
    <t xml:space="preserve">Summary: SUL vs Market Average</t>
  </si>
  <si>
    <t xml:space="preserve">Product</t>
  </si>
  <si>
    <t xml:space="preserve">Difference ($)</t>
  </si>
  <si>
    <t xml:space="preserve">Discount (%)</t>
  </si>
  <si>
    <t xml:space="preserve">Key Takeaway</t>
  </si>
  <si>
    <t xml:space="preserve">SUL is priced significantly below established streetwear competitors across all categories.</t>
  </si>
  <si>
    <t xml:space="preserve">This positions SUL as accessible premium streetwear — quality pieces without the brand tax.</t>
  </si>
  <si>
    <t xml:space="preserve">There is room to increase prices while remaining competitive, especially on the bomber jacket and hoodie.</t>
  </si>
  <si>
    <t xml:space="preserve">Sources</t>
  </si>
  <si>
    <t xml:space="preserve">FOG Essentials: fearofgod.com, StockX | Stussy: stussy.com, StockX | Kith: kith.com | Bape: us.bape.com, StockX</t>
  </si>
  <si>
    <t xml:space="preserve">Prices reflect retail/primary market as of March 2026. Bape hat uses mesh cap pricing ($115-180 range).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</si>
</sst>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$&quot;#,##0\);\-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1F3D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7A1F3D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7A1F3D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sz val="9"/>
      <color rgb="FF99999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7A1F3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A1F3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75</v>
      </c>
      <c r="C5" s="6" t="n">
        <v>160</v>
      </c>
      <c r="D5" s="6" t="n">
        <v>145</v>
      </c>
      <c r="E5" s="6" t="n">
        <v>170</v>
      </c>
      <c r="F5" s="6" t="n">
        <v>450</v>
      </c>
      <c r="G5" s="7" t="n">
        <f aca="false">AVERAGE(C5:F5)</f>
        <v>231.25</v>
      </c>
    </row>
    <row r="6" customFormat="false" ht="15" hidden="false" customHeight="false" outlineLevel="0" collapsed="false">
      <c r="A6" s="4" t="s">
        <v>10</v>
      </c>
      <c r="B6" s="5" t="n">
        <v>95</v>
      </c>
      <c r="C6" s="6" t="n">
        <v>270</v>
      </c>
      <c r="D6" s="6" t="n">
        <v>265</v>
      </c>
      <c r="E6" s="6" t="n">
        <v>325</v>
      </c>
      <c r="F6" s="6" t="n">
        <v>400</v>
      </c>
      <c r="G6" s="7" t="n">
        <f aca="false">AVERAGE(C6:F6)</f>
        <v>315</v>
      </c>
    </row>
    <row r="7" customFormat="false" ht="15" hidden="false" customHeight="false" outlineLevel="0" collapsed="false">
      <c r="A7" s="4" t="s">
        <v>11</v>
      </c>
      <c r="B7" s="5" t="n">
        <v>85</v>
      </c>
      <c r="C7" s="6" t="n">
        <v>130</v>
      </c>
      <c r="D7" s="6" t="n">
        <v>150</v>
      </c>
      <c r="E7" s="6" t="n">
        <v>155</v>
      </c>
      <c r="F7" s="6" t="n">
        <v>350</v>
      </c>
      <c r="G7" s="7" t="n">
        <f aca="false">AVERAGE(C7:F7)</f>
        <v>196.25</v>
      </c>
    </row>
    <row r="8" customFormat="false" ht="15" hidden="false" customHeight="false" outlineLevel="0" collapsed="false">
      <c r="A8" s="4" t="s">
        <v>12</v>
      </c>
      <c r="B8" s="5" t="n">
        <v>40</v>
      </c>
      <c r="C8" s="6"/>
      <c r="D8" s="6" t="n">
        <v>50</v>
      </c>
      <c r="E8" s="6" t="n">
        <v>55</v>
      </c>
      <c r="F8" s="6" t="n">
        <v>140</v>
      </c>
      <c r="G8" s="7" t="n">
        <f aca="false">AVERAGE(C8:F8)</f>
        <v>81.6666666666667</v>
      </c>
    </row>
    <row r="10" customFormat="false" ht="15" hidden="false" customHeight="false" outlineLevel="0" collapsed="false">
      <c r="A10" s="8" t="s">
        <v>13</v>
      </c>
    </row>
    <row r="12" customFormat="false" ht="16.15" hidden="false" customHeight="false" outlineLevel="0" collapsed="false">
      <c r="A12" s="9" t="s">
        <v>14</v>
      </c>
    </row>
    <row r="13" customFormat="false" ht="15" hidden="false" customHeight="false" outlineLevel="0" collapsed="false">
      <c r="A13" s="3" t="s">
        <v>15</v>
      </c>
      <c r="B13" s="3" t="s">
        <v>3</v>
      </c>
      <c r="C13" s="3" t="s">
        <v>8</v>
      </c>
      <c r="D13" s="3" t="s">
        <v>16</v>
      </c>
      <c r="E13" s="3" t="s">
        <v>17</v>
      </c>
    </row>
    <row r="14" customFormat="false" ht="15" hidden="false" customHeight="false" outlineLevel="0" collapsed="false">
      <c r="A14" s="10" t="s">
        <v>9</v>
      </c>
      <c r="B14" s="5" t="n">
        <f aca="false">B5</f>
        <v>75</v>
      </c>
      <c r="C14" s="6" t="n">
        <f aca="false">G5</f>
        <v>231.25</v>
      </c>
      <c r="D14" s="11" t="n">
        <f aca="false">B14-C14</f>
        <v>-156.25</v>
      </c>
      <c r="E14" s="12" t="n">
        <f aca="false">(B14-C14)/C14</f>
        <v>-0.675675675675676</v>
      </c>
    </row>
    <row r="15" customFormat="false" ht="15" hidden="false" customHeight="false" outlineLevel="0" collapsed="false">
      <c r="A15" s="10" t="s">
        <v>10</v>
      </c>
      <c r="B15" s="5" t="n">
        <f aca="false">B6</f>
        <v>95</v>
      </c>
      <c r="C15" s="6" t="n">
        <f aca="false">G6</f>
        <v>315</v>
      </c>
      <c r="D15" s="11" t="n">
        <f aca="false">B15-C15</f>
        <v>-220</v>
      </c>
      <c r="E15" s="12" t="n">
        <f aca="false">(B15-C15)/C15</f>
        <v>-0.698412698412698</v>
      </c>
    </row>
    <row r="16" customFormat="false" ht="15" hidden="false" customHeight="false" outlineLevel="0" collapsed="false">
      <c r="A16" s="10" t="s">
        <v>11</v>
      </c>
      <c r="B16" s="5" t="n">
        <f aca="false">B7</f>
        <v>85</v>
      </c>
      <c r="C16" s="6" t="n">
        <f aca="false">G7</f>
        <v>196.25</v>
      </c>
      <c r="D16" s="11" t="n">
        <f aca="false">B16-C16</f>
        <v>-111.25</v>
      </c>
      <c r="E16" s="12" t="n">
        <f aca="false">(B16-C16)/C16</f>
        <v>-0.56687898089172</v>
      </c>
    </row>
    <row r="17" customFormat="false" ht="15" hidden="false" customHeight="false" outlineLevel="0" collapsed="false">
      <c r="A17" s="10" t="s">
        <v>12</v>
      </c>
      <c r="B17" s="5" t="n">
        <f aca="false">B8</f>
        <v>40</v>
      </c>
      <c r="C17" s="6" t="n">
        <f aca="false">G8</f>
        <v>81.6666666666667</v>
      </c>
      <c r="D17" s="11" t="n">
        <f aca="false">B17-C17</f>
        <v>-41.6666666666667</v>
      </c>
      <c r="E17" s="12" t="n">
        <f aca="false">(B17-C17)/C17</f>
        <v>-0.510204081632653</v>
      </c>
    </row>
    <row r="19" customFormat="false" ht="15" hidden="false" customHeight="false" outlineLevel="0" collapsed="false">
      <c r="A19" s="13" t="s">
        <v>18</v>
      </c>
    </row>
    <row r="20" customFormat="false" ht="15" hidden="false" customHeight="false" outlineLevel="0" collapsed="false">
      <c r="A20" s="14" t="s">
        <v>19</v>
      </c>
    </row>
    <row r="21" customFormat="false" ht="15" hidden="false" customHeight="false" outlineLevel="0" collapsed="false">
      <c r="A21" s="14" t="s">
        <v>20</v>
      </c>
    </row>
    <row r="22" customFormat="false" ht="15" hidden="false" customHeight="false" outlineLevel="0" collapsed="false">
      <c r="A22" s="14" t="s">
        <v>21</v>
      </c>
    </row>
    <row r="24" customFormat="false" ht="15" hidden="false" customHeight="false" outlineLevel="0" collapsed="false">
      <c r="A24" s="15" t="s">
        <v>22</v>
      </c>
    </row>
    <row r="25" customFormat="false" ht="15" hidden="false" customHeight="false" outlineLevel="0" collapsed="false">
      <c r="A25" s="16" t="s">
        <v>23</v>
      </c>
    </row>
    <row r="26" customFormat="false" ht="15" hidden="false" customHeight="false" outlineLevel="0" collapsed="false">
      <c r="A26" s="16" t="s">
        <v>24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2026-03-19T01:13:15Z</dcterms:created>
  <dc:creator>openpyxl</dc:creator>
  <dc:description/>
  <dc:language>en-US</dc:language>
  <cp:lastModifiedBy/>
  <dcterms:modified xsi:type="dcterms:W3CDTF">2026-03-19T01:13:15Z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